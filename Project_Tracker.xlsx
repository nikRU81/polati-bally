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;($#,##0);-"/>
    <numFmt numFmtId="167" formatCode="0&quot;%&quot;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6600"/>
    </font>
    <font>
      <color rgb="000070C0"/>
    </font>
    <font>
      <b val="1"/>
      <color rgb="00FF000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2" customWidth="1" min="4" max="4"/>
    <col width="12" customWidth="1" min="5" max="5"/>
    <col width="16" customWidth="1" min="6" max="6"/>
    <col width="14" customWidth="1" min="7" max="7"/>
    <col width="13" customWidth="1" min="8" max="8"/>
    <col width="13" customWidth="1" min="9" max="9"/>
    <col width="15" customWidth="1" min="10" max="10"/>
    <col width="12" customWidth="1" min="11" max="11"/>
    <col width="10" customWidth="1" min="12" max="12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Project Manager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Status</t>
        </is>
      </c>
      <c r="H1" s="1" t="inlineStr">
        <is>
          <t>Budget ($)</t>
        </is>
      </c>
      <c r="I1" s="1" t="inlineStr">
        <is>
          <t>Spent ($)</t>
        </is>
      </c>
      <c r="J1" s="1" t="inlineStr">
        <is>
          <t>Remaining ($)</t>
        </is>
      </c>
      <c r="K1" s="1" t="inlineStr">
        <is>
          <t>% Complete</t>
        </is>
      </c>
      <c r="L1" s="1" t="inlineStr">
        <is>
          <t>Priority</t>
        </is>
      </c>
    </row>
    <row r="2">
      <c r="A2" s="2" t="inlineStr">
        <is>
          <t>P001</t>
        </is>
      </c>
      <c r="B2" s="2" t="inlineStr">
        <is>
          <t>Website Redesign</t>
        </is>
      </c>
      <c r="C2" s="2" t="inlineStr">
        <is>
          <t>Sarah Johnson</t>
        </is>
      </c>
      <c r="D2" s="3" t="n">
        <v>45672</v>
      </c>
      <c r="E2" s="3" t="n">
        <v>45762</v>
      </c>
      <c r="F2" s="4">
        <f>E2-D2</f>
        <v/>
      </c>
      <c r="G2" s="5" t="inlineStr">
        <is>
          <t>In Progress</t>
        </is>
      </c>
      <c r="H2" s="6" t="n">
        <v>50000</v>
      </c>
      <c r="I2" s="6" t="n">
        <v>32000</v>
      </c>
      <c r="J2" s="6">
        <f>H2-I2</f>
        <v/>
      </c>
      <c r="K2" s="7" t="n">
        <v>65</v>
      </c>
      <c r="L2" s="8" t="inlineStr">
        <is>
          <t>High</t>
        </is>
      </c>
    </row>
    <row r="3">
      <c r="A3" s="2" t="inlineStr">
        <is>
          <t>P002</t>
        </is>
      </c>
      <c r="B3" s="2" t="inlineStr">
        <is>
          <t>Mobile App Development</t>
        </is>
      </c>
      <c r="C3" s="2" t="inlineStr">
        <is>
          <t>Mike Chen</t>
        </is>
      </c>
      <c r="D3" s="3" t="n">
        <v>45682</v>
      </c>
      <c r="E3" s="3" t="n">
        <v>45802</v>
      </c>
      <c r="F3" s="4">
        <f>E3-D3</f>
        <v/>
      </c>
      <c r="G3" s="5" t="inlineStr">
        <is>
          <t>In Progress</t>
        </is>
      </c>
      <c r="H3" s="6" t="n">
        <v>120000</v>
      </c>
      <c r="I3" s="6" t="n">
        <v>45000</v>
      </c>
      <c r="J3" s="6">
        <f>H3-I3</f>
        <v/>
      </c>
      <c r="K3" s="7" t="n">
        <v>40</v>
      </c>
      <c r="L3" s="8" t="inlineStr">
        <is>
          <t>High</t>
        </is>
      </c>
    </row>
    <row r="4">
      <c r="A4" s="2" t="inlineStr">
        <is>
          <t>P003</t>
        </is>
      </c>
      <c r="B4" s="2" t="inlineStr">
        <is>
          <t>Database Migration</t>
        </is>
      </c>
      <c r="C4" s="2" t="inlineStr">
        <is>
          <t>Emily Rodriguez</t>
        </is>
      </c>
      <c r="D4" s="3" t="n">
        <v>45642</v>
      </c>
      <c r="E4" s="3" t="n">
        <v>45702</v>
      </c>
      <c r="F4" s="4">
        <f>E4-D4</f>
        <v/>
      </c>
      <c r="G4" s="9" t="inlineStr">
        <is>
          <t>On Hold</t>
        </is>
      </c>
      <c r="H4" s="6" t="n">
        <v>35000</v>
      </c>
      <c r="I4" s="6" t="n">
        <v>28000</v>
      </c>
      <c r="J4" s="6">
        <f>H4-I4</f>
        <v/>
      </c>
      <c r="K4" s="7" t="n">
        <v>80</v>
      </c>
      <c r="L4" s="10" t="inlineStr">
        <is>
          <t>Medium</t>
        </is>
      </c>
    </row>
    <row r="5">
      <c r="A5" s="2" t="inlineStr">
        <is>
          <t>P004</t>
        </is>
      </c>
      <c r="B5" s="2" t="inlineStr">
        <is>
          <t>Security Audit</t>
        </is>
      </c>
      <c r="C5" s="2" t="inlineStr">
        <is>
          <t>John Smith</t>
        </is>
      </c>
      <c r="D5" s="3" t="n">
        <v>45677</v>
      </c>
      <c r="E5" s="3" t="n">
        <v>45707</v>
      </c>
      <c r="F5" s="4">
        <f>E5-D5</f>
        <v/>
      </c>
      <c r="G5" s="11" t="inlineStr">
        <is>
          <t>Not Started</t>
        </is>
      </c>
      <c r="H5" s="6" t="n">
        <v>25000</v>
      </c>
      <c r="I5" s="6" t="n">
        <v>0</v>
      </c>
      <c r="J5" s="6">
        <f>H5-I5</f>
        <v/>
      </c>
      <c r="K5" s="7" t="n">
        <v>0</v>
      </c>
      <c r="L5" s="12" t="inlineStr">
        <is>
          <t>Critical</t>
        </is>
      </c>
    </row>
    <row r="6">
      <c r="A6" s="2" t="inlineStr">
        <is>
          <t>P005</t>
        </is>
      </c>
      <c r="B6" s="2" t="inlineStr">
        <is>
          <t>API Integration</t>
        </is>
      </c>
      <c r="C6" s="2" t="inlineStr">
        <is>
          <t>Lisa Wang</t>
        </is>
      </c>
      <c r="D6" s="3" t="n">
        <v>45657</v>
      </c>
      <c r="E6" s="3" t="n">
        <v>45717</v>
      </c>
      <c r="F6" s="4">
        <f>E6-D6</f>
        <v/>
      </c>
      <c r="G6" s="5" t="inlineStr">
        <is>
          <t>In Progress</t>
        </is>
      </c>
      <c r="H6" s="6" t="n">
        <v>45000</v>
      </c>
      <c r="I6" s="6" t="n">
        <v>30000</v>
      </c>
      <c r="J6" s="6">
        <f>H6-I6</f>
        <v/>
      </c>
      <c r="K6" s="7" t="n">
        <v>55</v>
      </c>
      <c r="L6" s="10" t="inlineStr">
        <is>
          <t>Medium</t>
        </is>
      </c>
    </row>
    <row r="7">
      <c r="A7" s="2" t="inlineStr">
        <is>
          <t>P006</t>
        </is>
      </c>
      <c r="B7" s="2" t="inlineStr">
        <is>
          <t>Cloud Infrastructure</t>
        </is>
      </c>
      <c r="C7" s="2" t="inlineStr">
        <is>
          <t>David Brown</t>
        </is>
      </c>
      <c r="D7" s="3" t="n">
        <v>45692</v>
      </c>
      <c r="E7" s="3" t="n">
        <v>45812</v>
      </c>
      <c r="F7" s="4">
        <f>E7-D7</f>
        <v/>
      </c>
      <c r="G7" s="13" t="inlineStr">
        <is>
          <t>Planning</t>
        </is>
      </c>
      <c r="H7" s="6" t="n">
        <v>85000</v>
      </c>
      <c r="I7" s="6" t="n">
        <v>5000</v>
      </c>
      <c r="J7" s="6">
        <f>H7-I7</f>
        <v/>
      </c>
      <c r="K7" s="7" t="n">
        <v>10</v>
      </c>
      <c r="L7" s="8" t="inlineStr">
        <is>
          <t>High</t>
        </is>
      </c>
    </row>
    <row r="9">
      <c r="A9" s="14" t="inlineStr">
        <is>
          <t>Summary</t>
        </is>
      </c>
    </row>
    <row r="10">
      <c r="A10" s="15" t="inlineStr">
        <is>
          <t>Total Budget:</t>
        </is>
      </c>
      <c r="B10" s="16">
        <f>SUM(H2:H7)</f>
        <v/>
      </c>
    </row>
    <row r="11">
      <c r="A11" s="15" t="inlineStr">
        <is>
          <t>Total Spent:</t>
        </is>
      </c>
      <c r="B11" s="16">
        <f>SUM(I2:I7)</f>
        <v/>
      </c>
    </row>
    <row r="12">
      <c r="A12" s="15" t="inlineStr">
        <is>
          <t>Total Remaining:</t>
        </is>
      </c>
      <c r="B12" s="16">
        <f>SUM(J2:J7)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2025-10-22T08:41:22Z</dcterms:created>
  <dcterms:modified xmlns:dcterms="http://purl.org/dc/terms/" xmlns:xsi="http://www.w3.org/2001/XMLSchema-instance" xsi:type="dcterms:W3CDTF">2025-10-22T08:41:22Z</dcterms:modified>
</cp:coreProperties>
</file>